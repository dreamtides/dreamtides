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thurn/Documents/GoogleDrive/"/>
    </mc:Choice>
  </mc:AlternateContent>
  <xr:revisionPtr revIDLastSave="0" documentId="13_ncr:1_{1FF54FE4-2C3F-5749-BD36-B8FDC1C7D31A}" xr6:coauthVersionLast="47" xr6:coauthVersionMax="47" xr10:uidLastSave="{00000000-0000-0000-0000-000000000000}"/>
  <bookViews>
    <workbookView xWindow="0" yWindow="760" windowWidth="30240" windowHeight="18880" xr2:uid="{C59A4AF3-5F5C-5648-958E-C952FA7E9CF2}"/>
  </bookViews>
  <sheets>
    <sheet name="Cards" sheetId="1" r:id="rId1"/>
    <sheet name="Test Cards" sheetId="2" r:id="rId2"/>
  </sheets>
  <functionGroups builtInGroupCount="19"/>
  <definedNames>
    <definedName name="_xlpm.p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10" i="1"/>
  <c r="A12" i="1"/>
  <c r="A11" i="1"/>
  <c r="A2" i="1"/>
  <c r="A3" i="1"/>
  <c r="A4" i="1"/>
  <c r="A5" i="1"/>
  <c r="A6" i="1"/>
  <c r="A7" i="1"/>
  <c r="A8" i="1"/>
  <c r="A9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1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</futureMetadata>
  <valueMetadata count="11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</valueMetadata>
</metadata>
</file>

<file path=xl/sharedStrings.xml><?xml version="1.0" encoding="utf-8"?>
<sst xmlns="http://schemas.openxmlformats.org/spreadsheetml/2006/main" count="337" uniqueCount="170">
  <si>
    <t>ID</t>
  </si>
  <si>
    <t>Image</t>
  </si>
  <si>
    <t>d8fe4b2a-088c-4a92-aeb7-d6d4d22fda1a</t>
  </si>
  <si>
    <t>Immolate</t>
  </si>
  <si>
    <t>Energy Cost</t>
  </si>
  <si>
    <t>{Dissolve} an enemy character.</t>
  </si>
  <si>
    <t>Name</t>
  </si>
  <si>
    <t>Rules Text</t>
  </si>
  <si>
    <t>d07ac4fa-cc3b-4bb8-8018-de7dc1760f35</t>
  </si>
  <si>
    <t>Abolish</t>
  </si>
  <si>
    <t>{Prevent} a played enemy card.</t>
  </si>
  <si>
    <t>Prompts</t>
  </si>
  <si>
    <t>Choose an enemy character to {dissolve}.</t>
  </si>
  <si>
    <t>Card Type</t>
  </si>
  <si>
    <t>Event</t>
  </si>
  <si>
    <t>Subtype</t>
  </si>
  <si>
    <t>Is Fast?</t>
  </si>
  <si>
    <t>d4207a7b-fc36-45e4-a1ee-f01b34485221</t>
  </si>
  <si>
    <t>Ripple of Defiance</t>
  </si>
  <si>
    <t>1</t>
  </si>
  <si>
    <t>{Prevent} a played enemy event unless the enemy pays {-energy-cost(e:2)}.</t>
  </si>
  <si>
    <t>Choose an enemy event to {prevent}.</t>
  </si>
  <si>
    <t>Choose an enemy card to {prevent}.</t>
  </si>
  <si>
    <t>Spark</t>
  </si>
  <si>
    <t>Image Number</t>
  </si>
  <si>
    <t>1907487244</t>
  </si>
  <si>
    <t>1282908322</t>
  </si>
  <si>
    <t>2123360837</t>
  </si>
  <si>
    <t>Dreamscatter</t>
  </si>
  <si>
    <t>2</t>
  </si>
  <si>
    <t>Pay one or more {e}: Draw {-drawn-cards(n:1)} for each {e} spent.</t>
  </si>
  <si>
    <t>Pay one or more {e}.</t>
  </si>
  <si>
    <t>489056605</t>
  </si>
  <si>
    <t>15a39336-2c71-44d6-b462-d9fd23a4d925</t>
  </si>
  <si>
    <t>Sundown Surfer</t>
  </si>
  <si>
    <t>Whenever you play a card during the enemy's turn, this character gains {-gained-spark(n:1)}.</t>
  </si>
  <si>
    <t>Character</t>
  </si>
  <si>
    <t>403770319</t>
  </si>
  <si>
    <t>3380cf41-2bca-468c-95e0-57abafd29430</t>
  </si>
  <si>
    <t>Minstrel of Falling Light</t>
  </si>
  <si>
    <t>86c79455-f9ba-46e4-80a6-e018f330942b</t>
  </si>
  <si>
    <t>{fma} {-energy-cost(e:3)}: Draw {-drawn-cards(n:1)}.</t>
  </si>
  <si>
    <t>1794244540</t>
  </si>
  <si>
    <t>Archive of the Forgotten</t>
  </si>
  <si>
    <t>07f737af-dbaf-471a-8edc-e1d987c23903</t>
  </si>
  <si>
    <t>4</t>
  </si>
  <si>
    <t>Return one or two events from your void to your hand.</t>
  </si>
  <si>
    <t>Choose one or two events in your void to return.</t>
  </si>
  <si>
    <t>644603677</t>
  </si>
  <si>
    <t>Break the Sequence</t>
  </si>
  <si>
    <t>33c0db9c-666d-4b4c-a596-b74106025be8</t>
  </si>
  <si>
    <t>*</t>
  </si>
  <si>
    <t>{choose-one}
{bullet} {-energy-cost(e:2)}: Return an enemy character to hand.
{bullet} {-energy-cost(e:3)}: Draw {-drawn-cards(n:2)}.</t>
  </si>
  <si>
    <t>Choose an enemy character to return to hand.</t>
  </si>
  <si>
    <t>1200949264</t>
  </si>
  <si>
    <t>Together Against the Tide</t>
  </si>
  <si>
    <t>9866955c-31af-4aad-8319-a52d2fd85d0f</t>
  </si>
  <si>
    <t>Give an allied character {anchored} until end of turn.</t>
  </si>
  <si>
    <t>Choose an allied character to gain {anchored}.</t>
  </si>
  <si>
    <t>1621160806</t>
  </si>
  <si>
    <t>Guiding Light</t>
  </si>
  <si>
    <t>5e70988b-ce14-45a0-8334-7cf4539ee2d8</t>
  </si>
  <si>
    <t>{-Foresee(n:1)}. Draw {-drawn-cards(n:1)}.
{-Reclaim-Cost(e:3)}</t>
  </si>
  <si>
    <t>1328168243</t>
  </si>
  <si>
    <t>Cragfall</t>
  </si>
  <si>
    <t>1d41a21a-1beb-4e56-8d7f-be29c4a9d43d</t>
  </si>
  <si>
    <t>{Prevent} a played enemy character.</t>
  </si>
  <si>
    <t>Choose an enemy character to {prevent}.</t>
  </si>
  <si>
    <t>1239919309</t>
  </si>
  <si>
    <t>Test Vanilla Character</t>
  </si>
  <si>
    <t>253ee0ca-f973-4d9f-ad37-abe548bc674f</t>
  </si>
  <si>
    <t xml:space="preserve"> </t>
  </si>
  <si>
    <t>Musician</t>
  </si>
  <si>
    <t>5</t>
  </si>
  <si>
    <t>Test Dissolve</t>
  </si>
  <si>
    <t>d4854b6e-5274-4f6a-8a60-a1ea1c15e9a6</t>
  </si>
  <si>
    <t>Test Counterspell</t>
  </si>
  <si>
    <t>aad836b0-3ece-477c-b923-b099360f0115</t>
  </si>
  <si>
    <t>Test Counterspell Unless Pays</t>
  </si>
  <si>
    <t>76b6d00c-5a28-4ee3-9655-e4fea1d8a4d8</t>
  </si>
  <si>
    <t>Test Variable Energy Draw</t>
  </si>
  <si>
    <t>e06a8cfe-483f-42c0-aac8-9c12b21b3f99</t>
  </si>
  <si>
    <t>Test Trigger Gain Spark On Play Card Enemy Turn</t>
  </si>
  <si>
    <t>86ee5ad7-b60b-4596-af8c-7a495022ac61</t>
  </si>
  <si>
    <t>Test Fast Multi Activated Ability Draw Card Character</t>
  </si>
  <si>
    <t>d8a8541f-5b00-4d91-9518-aa8ae70ea450</t>
  </si>
  <si>
    <t>Test Return One Or Two Void Event Cards To Hand</t>
  </si>
  <si>
    <t>559e62a0-7ead-4136-8bd4-6cc58db4bef7</t>
  </si>
  <si>
    <t>Test Modal Return To Hand Or Draw Two</t>
  </si>
  <si>
    <t>e8f937da-cca7-447d-a559-530d7c339325</t>
  </si>
  <si>
    <t>Test Prevent Dissolve This Turn</t>
  </si>
  <si>
    <t>0b783ac8-6aea-438e-a2d5-87bf68548eda</t>
  </si>
  <si>
    <t>Test Foresee One Draw Reclaim</t>
  </si>
  <si>
    <t>de21db6c-54b4-4bff-b1d6-5a4711ef5ed8</t>
  </si>
  <si>
    <t>Test Counterspell Character</t>
  </si>
  <si>
    <t>86ed0d3f-320b-49d0-b022-cd94aa07edbd</t>
  </si>
  <si>
    <t>Test Named Dissolve</t>
  </si>
  <si>
    <t>3c1dbdc7-702e-4748-af3c-4fd837bcb404</t>
  </si>
  <si>
    <t>Test Draw One</t>
  </si>
  <si>
    <t>68f90d08-9b51-424e-90d1-d15ddd1ece93</t>
  </si>
  <si>
    <t>0</t>
  </si>
  <si>
    <t>Draw {-drawn-cards(n:1)}.</t>
  </si>
  <si>
    <t>Test Trigger Gain Spark When Materialize Another Character</t>
  </si>
  <si>
    <t>91c9ed93-5faf-4178-aec9-d631bbcf5d6a</t>
  </si>
  <si>
    <t>Whenever you materialize another character, this character gains {-gained-spark(n:1)}.</t>
  </si>
  <si>
    <t>Test Trigger Gain Two Spark On Play Card Enemy Turn</t>
  </si>
  <si>
    <t>82759c0b-5161-4f6f-91b3-d42c2b4e0f9f</t>
  </si>
  <si>
    <t>Whenever you play a card during the enemy's turn, this character gains {-gained-spark(n:2)}.</t>
  </si>
  <si>
    <t>Test Activated Ability Draw Card</t>
  </si>
  <si>
    <t>8dfeb2c1-2d72-411c-a8cc-7f84ca532c63</t>
  </si>
  <si>
    <t>{a} {-energy-cost(e:1)}: Draw {-drawn-cards(n:1)}.</t>
  </si>
  <si>
    <t>3</t>
  </si>
  <si>
    <t>Test Multi Activated Ability Draw Card Character</t>
  </si>
  <si>
    <t>56f944bb-333b-4e2c-9c8c-2068f41998c2</t>
  </si>
  <si>
    <t>{ma} {-energy-cost(e:1)}: Draw {-drawn-cards(n:1)}.</t>
  </si>
  <si>
    <t>Test Fast Activated Ability Draw Card Character</t>
  </si>
  <si>
    <t>44aa4a1a-e8c6-4969-94bc-5fdbe010395e</t>
  </si>
  <si>
    <t>{fa} {-energy-cost(e:1)}: Draw {-drawn-cards(n:1)}.</t>
  </si>
  <si>
    <t>Test Activated Ability Dissolve Character</t>
  </si>
  <si>
    <t>785e0341-fdd8-4e05-acb4-cbceed70ea6c</t>
  </si>
  <si>
    <t>{a} {-energy-cost(e:2)}: {Dissolve} an enemy character.</t>
  </si>
  <si>
    <t>Test Dual Activated Ability Character</t>
  </si>
  <si>
    <t>3af84464-874a-4fd2-89cb-1986dee59ae1</t>
  </si>
  <si>
    <t>{a} {-energy-cost(e:1)}: Draw {-drawn-cards(n:1)}.
{a} {-energy-cost(e:2)}: Draw {-drawn-cards(n:2)}.</t>
  </si>
  <si>
    <t>Test Foresee One</t>
  </si>
  <si>
    <t>8217b59b-6573-484b-9f3b-203e86e1d841</t>
  </si>
  <si>
    <t>{-Foresee(n:1)}.</t>
  </si>
  <si>
    <t>Test Foresee Two</t>
  </si>
  <si>
    <t>89e34264-a69c-48a4-867e-add7b811394b</t>
  </si>
  <si>
    <t>{-Foresee(n:2)}.</t>
  </si>
  <si>
    <t>Test Foresee One Draw A Card</t>
  </si>
  <si>
    <t>820faab3-37c1-46fa-a314-5f023ec739a1</t>
  </si>
  <si>
    <t>{-Foresee(n:1)}. Draw {-drawn-cards(n:1)}.</t>
  </si>
  <si>
    <t>Test Draw One Reclaim</t>
  </si>
  <si>
    <t>0cba1386-d1b6-4f57-8ccc-d92f8be01d7c</t>
  </si>
  <si>
    <t>Draw {-drawn-cards(n:1)}.
{-Reclaim-Cost(e:1)}</t>
  </si>
  <si>
    <t>Test Foresee One Reclaim</t>
  </si>
  <si>
    <t>86ffc58b-96db-4106-a892-8ae2a70719e6</t>
  </si>
  <si>
    <t>{-Foresee(n:1)}.
{-Reclaim-Cost(e:3)}</t>
  </si>
  <si>
    <t>Test Return Void Card To Hand</t>
  </si>
  <si>
    <t>46e20fe4-36ca-438d-91a6-fac880ee9495</t>
  </si>
  <si>
    <t>Return a card from your void to your hand.</t>
  </si>
  <si>
    <t>Choose a card in your void.</t>
  </si>
  <si>
    <t>Test Modal Draw One Or Draw Two</t>
  </si>
  <si>
    <t>029889e9-25bc-438f-a492-8813febd65d8</t>
  </si>
  <si>
    <t>{choose-one}
{bullet} {-energy-cost(e:1)}: Draw {-drawn-cards(n:1)}.
{bullet} {-energy-cost(e:3)}: Draw {-drawn-cards(n:2)}.</t>
  </si>
  <si>
    <t>Test Modal Draw One Or Dissolve Enemy</t>
  </si>
  <si>
    <t>9847b3fc-1e7f-44e5-90af-1240ae12aaee</t>
  </si>
  <si>
    <t>{choose-one}
{bullet} {-energy-cost(e:1)}: Draw {-drawn-cards(n:1)}.
{bullet} {-energy-cost(e:2)}: {Dissolve} an enemy character.</t>
  </si>
  <si>
    <t>Test Return To Hand</t>
  </si>
  <si>
    <t>cf2f292b-f02c-4130-aff7-3f48fd147633</t>
  </si>
  <si>
    <t>Return an enemy character to hand.</t>
  </si>
  <si>
    <t>Test Gain Points</t>
  </si>
  <si>
    <t>995b52a1-b368-4c83-ae05-8ab3800ca618</t>
  </si>
  <si>
    <t>Gain {-gained-points(n: 2)}.</t>
  </si>
  <si>
    <t>Test Gain Energy</t>
  </si>
  <si>
    <t>db191470-7a5b-4133-b731-8a81767d46e1</t>
  </si>
  <si>
    <t>Gain {-gained-energy(e: 1)}.</t>
  </si>
  <si>
    <t>Test Deck To Void</t>
  </si>
  <si>
    <t>a7340f26-b759-458c-b8cb-b6fcc36fe412</t>
  </si>
  <si>
    <t>Put the top {-count(n: 3)} cards of your deck into your void.</t>
  </si>
  <si>
    <t>Test Discard</t>
  </si>
  <si>
    <t>6e76f193-dcf0-4faf-b1f7-50af2e0dc8a2</t>
  </si>
  <si>
    <t>Discard {-discarded-cards(n: 1)}.</t>
  </si>
  <si>
    <t>Test Discard Two</t>
  </si>
  <si>
    <t>ef6d55f9-49ba-4637-af50-91068cb3a2b2</t>
  </si>
  <si>
    <t>Discard {-discarded-cards(n: 2)}.</t>
  </si>
  <si>
    <t>Test Materialized Draw Card</t>
  </si>
  <si>
    <t>f62670ae-73ad-4645-8de4-4cd8fb58b920</t>
  </si>
  <si>
    <t>{Materialized}: Draw {-drawn-cards(n:1)}.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</si>
</sst>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434343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43434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4" fillId="0" borderId="0" xfId="0" applyFont="1" applyAlignment="1">
      <alignment vertical="center" wrapText="1"/>
    </xf>
    <xf numFmtId="1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1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 wrapText="1"/>
    </xf>
    <xf numFmtId="1" fontId="1" fillId="0" borderId="0" xfId="0" applyNumberFormat="1" applyFont="1" applyAlignment="1">
      <alignment horizontal="left" vertical="center" wrapText="1"/>
    </xf>
    <xf numFmtId="0" fontId="0" fillId="0" borderId="0" xfId="0" applyNumberFormat="1" applyAlignment="1">
      <alignment vertical="center" wrapText="1"/>
    </xf>
  </cellXfs>
  <cellStyles count="1">
    <cellStyle name="Normal" xfId="0" builtinId="0"/>
  </cellStyles>
  <dxfs count="29">
    <dxf>
      <alignment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numFmt numFmtId="0" formatCode="General"/>
      <alignment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alignment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434343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434343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theme" Target="theme/theme1.xml"/><Relationship Id="rId7" Type="http://schemas.microsoft.com/office/2020/07/relationships/rdRichValueWebImage" Target="richData/rdRichValueWebImage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richData/_rels/rdRichValueWebImage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jpg"/><Relationship Id="rId13" Type="http://schemas.openxmlformats.org/officeDocument/2006/relationships/hyperlink" Target="https://www.shutterstock.com/image-illustration/-260nw-644603677.jpg" TargetMode="External"/><Relationship Id="rId18" Type="http://schemas.openxmlformats.org/officeDocument/2006/relationships/image" Target="../media/image9.jpg"/><Relationship Id="rId3" Type="http://schemas.openxmlformats.org/officeDocument/2006/relationships/hyperlink" Target="https://www.shutterstock.com/image-illustration/-260nw-1282908322.jpg" TargetMode="External"/><Relationship Id="rId21" Type="http://schemas.openxmlformats.org/officeDocument/2006/relationships/hyperlink" Target="https://www.shutterstock.com/image-illustration/-260nw-1239919309.jpg" TargetMode="External"/><Relationship Id="rId7" Type="http://schemas.openxmlformats.org/officeDocument/2006/relationships/hyperlink" Target="https://www.shutterstock.com/image-illustration/-260nw-489056605.jpg" TargetMode="External"/><Relationship Id="rId12" Type="http://schemas.openxmlformats.org/officeDocument/2006/relationships/image" Target="../media/image6.jpg"/><Relationship Id="rId17" Type="http://schemas.openxmlformats.org/officeDocument/2006/relationships/hyperlink" Target="https://www.shutterstock.com/image-illustration/-260nw-1621160806.jpg" TargetMode="External"/><Relationship Id="rId2" Type="http://schemas.openxmlformats.org/officeDocument/2006/relationships/image" Target="../media/image1.jpg"/><Relationship Id="rId16" Type="http://schemas.openxmlformats.org/officeDocument/2006/relationships/image" Target="../media/image8.jpg"/><Relationship Id="rId20" Type="http://schemas.openxmlformats.org/officeDocument/2006/relationships/image" Target="../media/image10.jpg"/><Relationship Id="rId1" Type="http://schemas.openxmlformats.org/officeDocument/2006/relationships/hyperlink" Target="https://www.shutterstock.com/image-illustration/-260nw-1907487244.jpg" TargetMode="External"/><Relationship Id="rId6" Type="http://schemas.openxmlformats.org/officeDocument/2006/relationships/image" Target="../media/image3.jpg"/><Relationship Id="rId11" Type="http://schemas.openxmlformats.org/officeDocument/2006/relationships/hyperlink" Target="https://www.shutterstock.com/image-illustration/-260nw-1794244540.jpg" TargetMode="External"/><Relationship Id="rId5" Type="http://schemas.openxmlformats.org/officeDocument/2006/relationships/hyperlink" Target="https://www.shutterstock.com/image-illustration/-260nw-2123360837.jpg" TargetMode="External"/><Relationship Id="rId15" Type="http://schemas.openxmlformats.org/officeDocument/2006/relationships/hyperlink" Target="https://www.shutterstock.com/image-illustration/-260nw-1200949264.jpg" TargetMode="External"/><Relationship Id="rId10" Type="http://schemas.openxmlformats.org/officeDocument/2006/relationships/image" Target="../media/image5.jpg"/><Relationship Id="rId19" Type="http://schemas.openxmlformats.org/officeDocument/2006/relationships/hyperlink" Target="https://www.shutterstock.com/image-illustration/-260nw-1328168243.jpg" TargetMode="External"/><Relationship Id="rId4" Type="http://schemas.openxmlformats.org/officeDocument/2006/relationships/image" Target="../media/image2.jpg"/><Relationship Id="rId9" Type="http://schemas.openxmlformats.org/officeDocument/2006/relationships/hyperlink" Target="https://www.shutterstock.com/image-illustration/-260nw-403770319.jpg" TargetMode="External"/><Relationship Id="rId14" Type="http://schemas.openxmlformats.org/officeDocument/2006/relationships/image" Target="../media/image7.jpg"/><Relationship Id="rId22" Type="http://schemas.openxmlformats.org/officeDocument/2006/relationships/image" Target="../media/image11.jp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</webImagesSrd>
</file>

<file path=xl/richData/rdrichvalue.xml><?xml version="1.0" encoding="utf-8"?>
<rvData xmlns="http://schemas.microsoft.com/office/spreadsheetml/2017/richdata" count="11">
  <rv s="0">
    <v>0</v>
    <v>1</v>
    <v>0</v>
    <v>0</v>
  </rv>
  <rv s="0">
    <v>1</v>
    <v>1</v>
    <v>0</v>
    <v>0</v>
  </rv>
  <rv s="0">
    <v>2</v>
    <v>1</v>
    <v>0</v>
    <v>0</v>
  </rv>
  <rv s="0">
    <v>3</v>
    <v>1</v>
    <v>0</v>
    <v>0</v>
  </rv>
  <rv s="0">
    <v>4</v>
    <v>1</v>
    <v>0</v>
    <v>0</v>
  </rv>
  <rv s="0">
    <v>5</v>
    <v>1</v>
    <v>0</v>
    <v>0</v>
  </rv>
  <rv s="0">
    <v>6</v>
    <v>1</v>
    <v>0</v>
    <v>0</v>
  </rv>
  <rv s="0">
    <v>7</v>
    <v>1</v>
    <v>0</v>
    <v>0</v>
  </rv>
  <rv s="0">
    <v>8</v>
    <v>1</v>
    <v>0</v>
    <v>0</v>
  </rv>
  <rv s="0">
    <v>9</v>
    <v>1</v>
    <v>0</v>
    <v>0</v>
  </rv>
  <rv s="0">
    <v>10</v>
    <v>1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8B35DF-CC4F-1A44-ACFF-350AB0C05441}" name="Cards" displayName="Cards" ref="A1:K12" totalsRowShown="0" headerRowDxfId="28" dataDxfId="27" totalsRowDxfId="26">
  <autoFilter ref="A1:K12" xr:uid="{C88B35DF-CC4F-1A44-ACFF-350AB0C05441}"/>
  <tableColumns count="11">
    <tableColumn id="9" xr3:uid="{5E1BF833-FD7A-E641-AC2F-D6EDCE733EF5}" name="Image" dataDxfId="25">
      <calculatedColumnFormula>_xlfn.IMAGE("https://www.shutterstock.com/image-illustration/-260nw-"&amp;K2&amp;".jpg")</calculatedColumnFormula>
    </tableColumn>
    <tableColumn id="3" xr3:uid="{72122BFF-FC00-704C-AF1E-FA551B0E6C8E}" name="Name" dataDxfId="24"/>
    <tableColumn id="1" xr3:uid="{73C5C259-36A6-D048-921B-B103F271DAA4}" name="ID" dataDxfId="23"/>
    <tableColumn id="4" xr3:uid="{2DE05BBD-E0CA-4B47-838D-1B4E7E29F71F}" name="Energy Cost" dataDxfId="22"/>
    <tableColumn id="5" xr3:uid="{B12BBEF2-6F1F-1942-8462-05899913E8DC}" name="Rules Text" dataDxfId="21"/>
    <tableColumn id="16" xr3:uid="{CD97084E-5175-0D40-87DA-7E0D86FE9E79}" name="Prompts" dataDxfId="20"/>
    <tableColumn id="7" xr3:uid="{BA627A34-1A10-2C4E-A4B1-DC3E3948E5DD}" name="Card Type" dataDxfId="19"/>
    <tableColumn id="8" xr3:uid="{79ED84D1-E07C-5C4D-B632-1D538FFB3541}" name="Subtype" dataDxfId="18"/>
    <tableColumn id="10" xr3:uid="{1D9AC4E6-176F-1949-A533-FDF4B6A9A0C0}" name="Is Fast?" dataDxfId="17"/>
    <tableColumn id="11" xr3:uid="{2E17CE39-85FD-9F48-B9E5-AA29306008C7}" name="Spark" dataDxfId="16"/>
    <tableColumn id="13" xr3:uid="{A32AC102-6FE4-5C48-B23F-F34158DCEFC8}" name="Image Number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0C6728-86B1-B243-9096-75C1CEE8104F}" name="TestCards" displayName="TestCards" ref="A1:K38" totalsRowShown="0" headerRowDxfId="14" dataDxfId="12" headerRowBorderDxfId="13" tableBorderDxfId="11">
  <autoFilter ref="A1:K38" xr:uid="{F70C6728-86B1-B243-9096-75C1CEE8104F}"/>
  <tableColumns count="11">
    <tableColumn id="1" xr3:uid="{4BB3C501-DB08-1C47-919B-AAA7BBC27F7B}" name="Image" dataDxfId="10">
      <calculatedColumnFormula>_xlfn.IMAGE("https://www.shutterstock.com/image-illustration/-260nw-"&amp;K2&amp;".jpg")</calculatedColumnFormula>
    </tableColumn>
    <tableColumn id="2" xr3:uid="{5D6DFE50-3D08-8047-B172-CAD6513AF3C0}" name="Name" dataDxfId="9"/>
    <tableColumn id="3" xr3:uid="{649FCDA5-F4AF-064D-B99F-A0A90700E7E9}" name="ID" dataDxfId="8"/>
    <tableColumn id="4" xr3:uid="{50BB4BD9-9B33-8346-AF1A-DB70F51384B0}" name="Energy Cost" dataDxfId="7"/>
    <tableColumn id="5" xr3:uid="{99665EC1-B4B4-5E4E-BE48-20431472913A}" name="Rules Text" dataDxfId="6"/>
    <tableColumn id="6" xr3:uid="{48FD046B-AEBE-A643-B1AE-AA0CDEFE2817}" name="Prompts" dataDxfId="5"/>
    <tableColumn id="7" xr3:uid="{A5C1FA71-19DB-6541-9C47-F1F8F560190E}" name="Card Type" dataDxfId="4"/>
    <tableColumn id="8" xr3:uid="{675AC5CC-DAEC-2144-B72B-1F30B43CEE07}" name="Subtype" dataDxfId="3"/>
    <tableColumn id="9" xr3:uid="{B579E45F-A3C2-834D-8AA8-5EEC50C260E7}" name="Is Fast?" dataDxfId="2"/>
    <tableColumn id="10" xr3:uid="{90AC9EFB-FB1E-4742-A6D4-41007E34EA85}" name="Spark" dataDxfId="1"/>
    <tableColumn id="11" xr3:uid="{1B3A201B-AEC6-F043-A0B3-8A92861C058C}" name="Image Numbe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C6EA3-35B4-C046-8276-AB85E25D7877}">
  <sheetPr codeName="Sheet1"/>
  <dimension ref="A1:K97"/>
  <sheetViews>
    <sheetView tabSelected="1" topLeftCell="A7" workbookViewId="0">
      <selection activeCell="E4" sqref="E4"/>
    </sheetView>
  </sheetViews>
  <sheetFormatPr baseColWidth="10" defaultRowHeight="16" x14ac:dyDescent="0.2"/>
  <cols>
    <col min="1" max="1" width="26.1640625" style="9" customWidth="1"/>
    <col min="2" max="2" width="26.6640625" style="6" customWidth="1"/>
    <col min="3" max="3" width="18.6640625" style="2" customWidth="1"/>
    <col min="4" max="4" width="18.1640625" style="6" customWidth="1"/>
    <col min="5" max="5" width="50.83203125" style="5" customWidth="1"/>
    <col min="6" max="6" width="31.1640625" style="3" customWidth="1"/>
    <col min="7" max="9" width="15.83203125" style="3" customWidth="1"/>
    <col min="10" max="16384" width="10.83203125" style="3"/>
  </cols>
  <sheetData>
    <row r="1" spans="1:11" ht="34" x14ac:dyDescent="0.2">
      <c r="A1" s="10" t="s">
        <v>1</v>
      </c>
      <c r="B1" s="2" t="s">
        <v>6</v>
      </c>
      <c r="C1" s="2" t="s">
        <v>0</v>
      </c>
      <c r="D1" s="11" t="s">
        <v>4</v>
      </c>
      <c r="E1" s="2" t="s">
        <v>7</v>
      </c>
      <c r="F1" s="2" t="s">
        <v>11</v>
      </c>
      <c r="G1" s="2" t="s">
        <v>13</v>
      </c>
      <c r="H1" s="2" t="s">
        <v>15</v>
      </c>
      <c r="I1" s="2" t="s">
        <v>16</v>
      </c>
      <c r="J1" s="2" t="s">
        <v>23</v>
      </c>
      <c r="K1" s="2" t="s">
        <v>24</v>
      </c>
    </row>
    <row r="2" spans="1:11" ht="100" customHeight="1" x14ac:dyDescent="0.2">
      <c r="A2" s="6" t="e" vm="1">
        <f t="shared" ref="A2:A10" si="0">_xlfn.IMAGE("https://www.shutterstock.com/image-illustration/-260nw-"&amp;K2&amp;".jpg")</f>
        <v>#VALUE!</v>
      </c>
      <c r="B2" s="4" t="s">
        <v>3</v>
      </c>
      <c r="C2" s="1" t="s">
        <v>2</v>
      </c>
      <c r="D2" s="7">
        <v>2</v>
      </c>
      <c r="E2" s="3" t="s">
        <v>5</v>
      </c>
      <c r="F2" s="3" t="s">
        <v>12</v>
      </c>
      <c r="G2" s="3" t="s">
        <v>14</v>
      </c>
      <c r="I2" s="3" t="b">
        <v>1</v>
      </c>
      <c r="J2" s="6"/>
      <c r="K2" s="3" t="s">
        <v>25</v>
      </c>
    </row>
    <row r="3" spans="1:11" ht="100" customHeight="1" x14ac:dyDescent="0.2">
      <c r="A3" s="6" t="e" vm="2">
        <f t="shared" si="0"/>
        <v>#VALUE!</v>
      </c>
      <c r="B3" s="4" t="s">
        <v>9</v>
      </c>
      <c r="C3" s="1" t="s">
        <v>8</v>
      </c>
      <c r="D3" s="7">
        <v>2</v>
      </c>
      <c r="E3" s="3" t="s">
        <v>10</v>
      </c>
      <c r="F3" s="3" t="s">
        <v>22</v>
      </c>
      <c r="G3" s="3" t="s">
        <v>14</v>
      </c>
      <c r="I3" s="3" t="b">
        <v>1</v>
      </c>
      <c r="J3" s="6"/>
      <c r="K3" s="3" t="s">
        <v>26</v>
      </c>
    </row>
    <row r="4" spans="1:11" ht="100" customHeight="1" x14ac:dyDescent="0.2">
      <c r="A4" s="6" t="e" vm="3">
        <f t="shared" si="0"/>
        <v>#VALUE!</v>
      </c>
      <c r="B4" s="4" t="s">
        <v>18</v>
      </c>
      <c r="C4" s="1" t="s">
        <v>17</v>
      </c>
      <c r="D4" s="7" t="s">
        <v>19</v>
      </c>
      <c r="E4" s="3" t="s">
        <v>20</v>
      </c>
      <c r="F4" s="3" t="s">
        <v>21</v>
      </c>
      <c r="G4" s="3" t="s">
        <v>14</v>
      </c>
      <c r="I4" s="3" t="b">
        <v>1</v>
      </c>
      <c r="K4" s="3" t="s">
        <v>27</v>
      </c>
    </row>
    <row r="5" spans="1:11" ht="100" customHeight="1" x14ac:dyDescent="0.2">
      <c r="A5" s="6" t="e" vm="4">
        <f t="shared" si="0"/>
        <v>#VALUE!</v>
      </c>
      <c r="B5" s="4" t="s">
        <v>28</v>
      </c>
      <c r="C5" s="1" t="s">
        <v>33</v>
      </c>
      <c r="D5" s="7" t="s">
        <v>29</v>
      </c>
      <c r="E5" s="3" t="s">
        <v>30</v>
      </c>
      <c r="F5" s="3" t="s">
        <v>31</v>
      </c>
      <c r="G5" s="3" t="s">
        <v>14</v>
      </c>
      <c r="I5" s="3" t="b">
        <v>1</v>
      </c>
      <c r="J5" s="6"/>
      <c r="K5" s="3" t="s">
        <v>32</v>
      </c>
    </row>
    <row r="6" spans="1:11" ht="100" customHeight="1" x14ac:dyDescent="0.2">
      <c r="A6" s="6" t="e" vm="5">
        <f t="shared" si="0"/>
        <v>#VALUE!</v>
      </c>
      <c r="B6" s="4" t="s">
        <v>34</v>
      </c>
      <c r="C6" s="1" t="s">
        <v>38</v>
      </c>
      <c r="D6" s="7" t="s">
        <v>29</v>
      </c>
      <c r="E6" s="3" t="s">
        <v>35</v>
      </c>
      <c r="G6" s="3" t="s">
        <v>36</v>
      </c>
      <c r="I6" s="3" t="b">
        <v>1</v>
      </c>
      <c r="J6" s="6" t="s">
        <v>19</v>
      </c>
      <c r="K6" s="3" t="s">
        <v>37</v>
      </c>
    </row>
    <row r="7" spans="1:11" ht="100" customHeight="1" x14ac:dyDescent="0.2">
      <c r="A7" s="6" t="e" vm="6">
        <f t="shared" si="0"/>
        <v>#VALUE!</v>
      </c>
      <c r="B7" s="4" t="s">
        <v>39</v>
      </c>
      <c r="C7" s="1" t="s">
        <v>40</v>
      </c>
      <c r="D7" s="7" t="s">
        <v>29</v>
      </c>
      <c r="E7" s="8" t="s">
        <v>41</v>
      </c>
      <c r="G7" s="3" t="s">
        <v>36</v>
      </c>
      <c r="I7" s="3" t="b">
        <v>0</v>
      </c>
      <c r="J7" s="6" t="s">
        <v>29</v>
      </c>
      <c r="K7" s="3" t="s">
        <v>42</v>
      </c>
    </row>
    <row r="8" spans="1:11" ht="100" customHeight="1" x14ac:dyDescent="0.2">
      <c r="A8" s="6" t="e" vm="7">
        <f t="shared" si="0"/>
        <v>#VALUE!</v>
      </c>
      <c r="B8" s="4" t="s">
        <v>43</v>
      </c>
      <c r="C8" s="1" t="s">
        <v>44</v>
      </c>
      <c r="D8" s="7" t="s">
        <v>45</v>
      </c>
      <c r="E8" s="8" t="s">
        <v>46</v>
      </c>
      <c r="F8" s="3" t="s">
        <v>47</v>
      </c>
      <c r="G8" s="3" t="s">
        <v>14</v>
      </c>
      <c r="I8" s="3" t="b">
        <v>0</v>
      </c>
      <c r="J8" s="6"/>
      <c r="K8" s="3" t="s">
        <v>48</v>
      </c>
    </row>
    <row r="9" spans="1:11" ht="100" customHeight="1" x14ac:dyDescent="0.2">
      <c r="A9" s="6" t="e" vm="8">
        <f t="shared" si="0"/>
        <v>#VALUE!</v>
      </c>
      <c r="B9" s="4" t="s">
        <v>49</v>
      </c>
      <c r="C9" s="1" t="s">
        <v>50</v>
      </c>
      <c r="D9" s="7" t="s">
        <v>51</v>
      </c>
      <c r="E9" s="8" t="s">
        <v>52</v>
      </c>
      <c r="F9" s="3" t="s">
        <v>53</v>
      </c>
      <c r="G9" s="3" t="s">
        <v>14</v>
      </c>
      <c r="I9" s="3" t="b">
        <v>1</v>
      </c>
      <c r="J9" s="6"/>
      <c r="K9" s="3" t="s">
        <v>54</v>
      </c>
    </row>
    <row r="10" spans="1:11" ht="100" customHeight="1" x14ac:dyDescent="0.2">
      <c r="A10" s="6" t="e" vm="9">
        <f t="shared" si="0"/>
        <v>#VALUE!</v>
      </c>
      <c r="B10" s="4" t="s">
        <v>55</v>
      </c>
      <c r="C10" s="1" t="s">
        <v>56</v>
      </c>
      <c r="D10" s="7" t="s">
        <v>19</v>
      </c>
      <c r="E10" s="8" t="s">
        <v>57</v>
      </c>
      <c r="F10" s="3" t="s">
        <v>58</v>
      </c>
      <c r="G10" s="3" t="s">
        <v>14</v>
      </c>
      <c r="I10" s="3" t="b">
        <v>1</v>
      </c>
      <c r="J10" s="6"/>
      <c r="K10" s="3" t="s">
        <v>59</v>
      </c>
    </row>
    <row r="11" spans="1:11" ht="100" customHeight="1" x14ac:dyDescent="0.2">
      <c r="A11" s="6" t="e" vm="10">
        <f>_xlfn.IMAGE("https://www.shutterstock.com/image-illustration/-260nw-"&amp;K11&amp;".jpg")</f>
        <v>#VALUE!</v>
      </c>
      <c r="B11" s="4" t="s">
        <v>60</v>
      </c>
      <c r="C11" s="1" t="s">
        <v>61</v>
      </c>
      <c r="D11" s="7" t="s">
        <v>19</v>
      </c>
      <c r="E11" s="8" t="s">
        <v>62</v>
      </c>
      <c r="G11" s="3" t="s">
        <v>14</v>
      </c>
      <c r="I11" s="3" t="b">
        <v>1</v>
      </c>
      <c r="J11" s="6"/>
      <c r="K11" s="3" t="s">
        <v>63</v>
      </c>
    </row>
    <row r="12" spans="1:11" ht="100" customHeight="1" x14ac:dyDescent="0.2">
      <c r="A12" s="6" t="e" vm="11">
        <f>_xlfn.IMAGE("https://www.shutterstock.com/image-illustration/-260nw-"&amp;K12&amp;".jpg")</f>
        <v>#VALUE!</v>
      </c>
      <c r="B12" s="4" t="s">
        <v>64</v>
      </c>
      <c r="C12" s="1" t="s">
        <v>65</v>
      </c>
      <c r="D12" s="7" t="s">
        <v>29</v>
      </c>
      <c r="E12" s="8" t="s">
        <v>66</v>
      </c>
      <c r="F12" s="3" t="s">
        <v>67</v>
      </c>
      <c r="G12" s="3" t="s">
        <v>14</v>
      </c>
      <c r="I12" s="3" t="b">
        <v>1</v>
      </c>
      <c r="J12" s="6"/>
      <c r="K12" s="3" t="s">
        <v>68</v>
      </c>
    </row>
    <row r="13" spans="1:11" ht="100" customHeight="1" x14ac:dyDescent="0.2"/>
    <row r="14" spans="1:11" ht="100" customHeight="1" x14ac:dyDescent="0.2"/>
    <row r="15" spans="1:11" ht="100" customHeight="1" x14ac:dyDescent="0.2"/>
    <row r="16" spans="1:11" ht="100" customHeight="1" x14ac:dyDescent="0.2"/>
    <row r="17" ht="100" customHeight="1" x14ac:dyDescent="0.2"/>
    <row r="18" ht="100" customHeight="1" x14ac:dyDescent="0.2"/>
    <row r="19" ht="100" customHeight="1" x14ac:dyDescent="0.2"/>
    <row r="20" ht="100" customHeight="1" x14ac:dyDescent="0.2"/>
    <row r="21" ht="100" customHeight="1" x14ac:dyDescent="0.2"/>
    <row r="22" ht="100" customHeight="1" x14ac:dyDescent="0.2"/>
    <row r="23" ht="100" customHeight="1" x14ac:dyDescent="0.2"/>
    <row r="24" ht="100" customHeight="1" x14ac:dyDescent="0.2"/>
    <row r="25" ht="100" customHeight="1" x14ac:dyDescent="0.2"/>
    <row r="26" ht="100" customHeight="1" x14ac:dyDescent="0.2"/>
    <row r="27" ht="100" customHeight="1" x14ac:dyDescent="0.2"/>
    <row r="28" ht="100" customHeight="1" x14ac:dyDescent="0.2"/>
    <row r="29" ht="100" customHeight="1" x14ac:dyDescent="0.2"/>
    <row r="30" ht="100" customHeight="1" x14ac:dyDescent="0.2"/>
    <row r="31" ht="100" customHeight="1" x14ac:dyDescent="0.2"/>
    <row r="32" ht="100" customHeight="1" x14ac:dyDescent="0.2"/>
    <row r="33" ht="100" customHeight="1" x14ac:dyDescent="0.2"/>
    <row r="34" ht="100" customHeight="1" x14ac:dyDescent="0.2"/>
    <row r="35" ht="100" customHeight="1" x14ac:dyDescent="0.2"/>
    <row r="36" ht="100" customHeight="1" x14ac:dyDescent="0.2"/>
    <row r="37" ht="100" customHeight="1" x14ac:dyDescent="0.2"/>
    <row r="38" ht="100" customHeight="1" x14ac:dyDescent="0.2"/>
    <row r="39" ht="100" customHeight="1" x14ac:dyDescent="0.2"/>
    <row r="40" ht="100" customHeight="1" x14ac:dyDescent="0.2"/>
    <row r="41" ht="100" customHeight="1" x14ac:dyDescent="0.2"/>
    <row r="42" ht="100" customHeight="1" x14ac:dyDescent="0.2"/>
    <row r="43" ht="100" customHeight="1" x14ac:dyDescent="0.2"/>
    <row r="44" ht="100" customHeight="1" x14ac:dyDescent="0.2"/>
    <row r="45" ht="100" customHeight="1" x14ac:dyDescent="0.2"/>
    <row r="46" ht="100" customHeight="1" x14ac:dyDescent="0.2"/>
    <row r="47" ht="100" customHeight="1" x14ac:dyDescent="0.2"/>
    <row r="48" ht="100" customHeight="1" x14ac:dyDescent="0.2"/>
    <row r="49" ht="100" customHeight="1" x14ac:dyDescent="0.2"/>
    <row r="50" ht="100" customHeight="1" x14ac:dyDescent="0.2"/>
    <row r="51" ht="100" customHeight="1" x14ac:dyDescent="0.2"/>
    <row r="52" ht="100" customHeight="1" x14ac:dyDescent="0.2"/>
    <row r="53" ht="100" customHeight="1" x14ac:dyDescent="0.2"/>
    <row r="54" ht="100" customHeight="1" x14ac:dyDescent="0.2"/>
    <row r="55" ht="100" customHeight="1" x14ac:dyDescent="0.2"/>
    <row r="56" ht="100" customHeight="1" x14ac:dyDescent="0.2"/>
    <row r="57" ht="100" customHeight="1" x14ac:dyDescent="0.2"/>
    <row r="58" ht="100" customHeight="1" x14ac:dyDescent="0.2"/>
    <row r="59" ht="100" customHeight="1" x14ac:dyDescent="0.2"/>
    <row r="60" ht="100" customHeight="1" x14ac:dyDescent="0.2"/>
    <row r="61" ht="100" customHeight="1" x14ac:dyDescent="0.2"/>
    <row r="62" ht="100" customHeight="1" x14ac:dyDescent="0.2"/>
    <row r="63" ht="100" customHeight="1" x14ac:dyDescent="0.2"/>
    <row r="64" ht="100" customHeight="1" x14ac:dyDescent="0.2"/>
    <row r="65" ht="100" customHeight="1" x14ac:dyDescent="0.2"/>
    <row r="66" ht="100" customHeight="1" x14ac:dyDescent="0.2"/>
    <row r="67" ht="100" customHeight="1" x14ac:dyDescent="0.2"/>
    <row r="68" ht="100" customHeight="1" x14ac:dyDescent="0.2"/>
    <row r="69" ht="100" customHeight="1" x14ac:dyDescent="0.2"/>
    <row r="70" ht="100" customHeight="1" x14ac:dyDescent="0.2"/>
    <row r="71" ht="100" customHeight="1" x14ac:dyDescent="0.2"/>
    <row r="72" ht="100" customHeight="1" x14ac:dyDescent="0.2"/>
    <row r="73" ht="100" customHeight="1" x14ac:dyDescent="0.2"/>
    <row r="74" ht="100" customHeight="1" x14ac:dyDescent="0.2"/>
    <row r="75" ht="100" customHeight="1" x14ac:dyDescent="0.2"/>
    <row r="76" ht="100" customHeight="1" x14ac:dyDescent="0.2"/>
    <row r="77" ht="100" customHeight="1" x14ac:dyDescent="0.2"/>
    <row r="78" ht="100" customHeight="1" x14ac:dyDescent="0.2"/>
    <row r="79" ht="100" customHeight="1" x14ac:dyDescent="0.2"/>
    <row r="80" ht="100" customHeight="1" x14ac:dyDescent="0.2"/>
    <row r="81" ht="100" customHeight="1" x14ac:dyDescent="0.2"/>
    <row r="82" ht="100" customHeight="1" x14ac:dyDescent="0.2"/>
    <row r="83" ht="100" customHeight="1" x14ac:dyDescent="0.2"/>
    <row r="84" ht="100" customHeight="1" x14ac:dyDescent="0.2"/>
    <row r="85" ht="100" customHeight="1" x14ac:dyDescent="0.2"/>
    <row r="86" ht="100" customHeight="1" x14ac:dyDescent="0.2"/>
    <row r="87" ht="100" customHeight="1" x14ac:dyDescent="0.2"/>
    <row r="88" ht="100" customHeight="1" x14ac:dyDescent="0.2"/>
    <row r="89" ht="100" customHeight="1" x14ac:dyDescent="0.2"/>
    <row r="90" ht="100" customHeight="1" x14ac:dyDescent="0.2"/>
    <row r="91" ht="100" customHeight="1" x14ac:dyDescent="0.2"/>
    <row r="92" ht="100" customHeight="1" x14ac:dyDescent="0.2"/>
    <row r="93" ht="100" customHeight="1" x14ac:dyDescent="0.2"/>
    <row r="94" ht="100" customHeight="1" x14ac:dyDescent="0.2"/>
    <row r="95" ht="100" customHeight="1" x14ac:dyDescent="0.2"/>
    <row r="96" ht="100" customHeight="1" x14ac:dyDescent="0.2"/>
    <row r="97" ht="100" customHeight="1" x14ac:dyDescent="0.2"/>
  </sheetData>
  <phoneticPr fontId="3" type="noConversion"/>
  <dataValidations count="2">
    <dataValidation type="list" allowBlank="1" showInputMessage="1" showErrorMessage="1" sqref="G2:G12" xr:uid="{6EC3DE71-3B03-414E-9397-73B526A134F9}">
      <formula1>"Event,Character"</formula1>
    </dataValidation>
    <dataValidation type="list" allowBlank="1" showInputMessage="1" showErrorMessage="1" sqref="I2:I12" xr:uid="{CCF4F627-334E-0845-BF46-F4102634101E}">
      <formula1>"FALSE,TRUE"</formula1>
    </dataValidation>
  </dataValidations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1CED2-D0C4-3A4C-ACD5-7F16FFE35F0C}">
  <sheetPr codeName="Sheet2"/>
  <dimension ref="A1:K38"/>
  <sheetViews>
    <sheetView workbookViewId="0">
      <selection activeCell="C35" sqref="C35"/>
    </sheetView>
  </sheetViews>
  <sheetFormatPr baseColWidth="10" defaultRowHeight="16" x14ac:dyDescent="0.2"/>
  <cols>
    <col min="1" max="1" width="26.1640625" style="3" customWidth="1"/>
    <col min="2" max="2" width="26.6640625" style="3" customWidth="1"/>
    <col min="3" max="3" width="18.6640625" style="3" customWidth="1"/>
    <col min="4" max="4" width="18.1640625" style="3" customWidth="1"/>
    <col min="5" max="5" width="50.83203125" style="3" customWidth="1"/>
    <col min="6" max="6" width="31.1640625" style="3" customWidth="1"/>
    <col min="7" max="9" width="15.83203125" style="3" customWidth="1"/>
    <col min="10" max="10" width="10.83203125" style="6"/>
    <col min="11" max="11" width="10.83203125" style="3" customWidth="1"/>
    <col min="12" max="16384" width="10.83203125" style="3"/>
  </cols>
  <sheetData>
    <row r="1" spans="1:11" ht="34" customHeight="1" x14ac:dyDescent="0.2">
      <c r="A1" s="10" t="s">
        <v>1</v>
      </c>
      <c r="B1" s="2" t="s">
        <v>6</v>
      </c>
      <c r="C1" s="2" t="s">
        <v>0</v>
      </c>
      <c r="D1" s="11" t="s">
        <v>4</v>
      </c>
      <c r="E1" s="2" t="s">
        <v>7</v>
      </c>
      <c r="F1" s="2" t="s">
        <v>11</v>
      </c>
      <c r="G1" s="2" t="s">
        <v>13</v>
      </c>
      <c r="H1" s="2" t="s">
        <v>15</v>
      </c>
      <c r="I1" s="2" t="s">
        <v>16</v>
      </c>
      <c r="J1" s="2" t="s">
        <v>23</v>
      </c>
      <c r="K1" s="2" t="s">
        <v>24</v>
      </c>
    </row>
    <row r="2" spans="1:11" ht="100" customHeight="1" x14ac:dyDescent="0.2">
      <c r="A2" s="6" t="e" vm="6">
        <f t="shared" ref="A2:A37" si="0">_xlfn.IMAGE("https://www.shutterstock.com/image-illustration/-260nw-"&amp;K2&amp;".jpg")</f>
        <v>#VALUE!</v>
      </c>
      <c r="B2" s="4" t="s">
        <v>69</v>
      </c>
      <c r="C2" s="1" t="s">
        <v>70</v>
      </c>
      <c r="D2" s="7" t="s">
        <v>29</v>
      </c>
      <c r="E2" s="3" t="s">
        <v>71</v>
      </c>
      <c r="G2" s="3" t="s">
        <v>36</v>
      </c>
      <c r="H2" s="3" t="s">
        <v>72</v>
      </c>
      <c r="I2" s="3" t="b">
        <v>0</v>
      </c>
      <c r="J2" s="6" t="s">
        <v>73</v>
      </c>
      <c r="K2" s="3" t="s">
        <v>42</v>
      </c>
    </row>
    <row r="3" spans="1:11" ht="100" customHeight="1" x14ac:dyDescent="0.2">
      <c r="A3" s="6" t="e" vm="1">
        <f t="shared" si="0"/>
        <v>#VALUE!</v>
      </c>
      <c r="B3" s="4" t="s">
        <v>74</v>
      </c>
      <c r="C3" s="1" t="s">
        <v>75</v>
      </c>
      <c r="D3" s="7" t="s">
        <v>29</v>
      </c>
      <c r="E3" s="3" t="s">
        <v>5</v>
      </c>
      <c r="F3" s="3" t="s">
        <v>12</v>
      </c>
      <c r="G3" s="3" t="s">
        <v>14</v>
      </c>
      <c r="I3" s="3" t="b">
        <v>1</v>
      </c>
      <c r="K3" s="3" t="s">
        <v>25</v>
      </c>
    </row>
    <row r="4" spans="1:11" ht="100" customHeight="1" x14ac:dyDescent="0.2">
      <c r="A4" s="6" t="e" vm="2">
        <f t="shared" si="0"/>
        <v>#VALUE!</v>
      </c>
      <c r="B4" s="4" t="s">
        <v>76</v>
      </c>
      <c r="C4" s="1" t="s">
        <v>77</v>
      </c>
      <c r="D4" s="7" t="s">
        <v>29</v>
      </c>
      <c r="E4" s="3" t="s">
        <v>10</v>
      </c>
      <c r="F4" s="3" t="s">
        <v>22</v>
      </c>
      <c r="G4" s="3" t="s">
        <v>14</v>
      </c>
      <c r="I4" s="3" t="b">
        <v>1</v>
      </c>
      <c r="J4" s="3"/>
      <c r="K4" s="3" t="s">
        <v>26</v>
      </c>
    </row>
    <row r="5" spans="1:11" ht="100" customHeight="1" x14ac:dyDescent="0.2">
      <c r="A5" s="6" t="e" vm="3">
        <f t="shared" si="0"/>
        <v>#VALUE!</v>
      </c>
      <c r="B5" s="4" t="s">
        <v>78</v>
      </c>
      <c r="C5" s="1" t="s">
        <v>79</v>
      </c>
      <c r="D5" s="7" t="s">
        <v>19</v>
      </c>
      <c r="E5" s="3" t="s">
        <v>20</v>
      </c>
      <c r="F5" s="3" t="s">
        <v>21</v>
      </c>
      <c r="G5" s="3" t="s">
        <v>14</v>
      </c>
      <c r="I5" s="3" t="b">
        <v>1</v>
      </c>
      <c r="K5" s="3" t="s">
        <v>27</v>
      </c>
    </row>
    <row r="6" spans="1:11" ht="100" customHeight="1" x14ac:dyDescent="0.2">
      <c r="A6" s="6" t="e" vm="4">
        <f t="shared" si="0"/>
        <v>#VALUE!</v>
      </c>
      <c r="B6" s="4" t="s">
        <v>80</v>
      </c>
      <c r="C6" s="1" t="s">
        <v>81</v>
      </c>
      <c r="D6" s="7" t="s">
        <v>29</v>
      </c>
      <c r="E6" s="3" t="s">
        <v>30</v>
      </c>
      <c r="F6" s="3" t="s">
        <v>31</v>
      </c>
      <c r="G6" s="3" t="s">
        <v>14</v>
      </c>
      <c r="I6" s="3" t="b">
        <v>1</v>
      </c>
      <c r="K6" s="3" t="s">
        <v>32</v>
      </c>
    </row>
    <row r="7" spans="1:11" ht="100" customHeight="1" x14ac:dyDescent="0.2">
      <c r="A7" s="6" t="e" vm="5">
        <f t="shared" si="0"/>
        <v>#VALUE!</v>
      </c>
      <c r="B7" s="4" t="s">
        <v>82</v>
      </c>
      <c r="C7" s="1" t="s">
        <v>83</v>
      </c>
      <c r="D7" s="7" t="s">
        <v>29</v>
      </c>
      <c r="E7" s="8" t="s">
        <v>35</v>
      </c>
      <c r="G7" s="3" t="s">
        <v>36</v>
      </c>
      <c r="I7" s="3" t="b">
        <v>1</v>
      </c>
      <c r="J7" s="6" t="s">
        <v>19</v>
      </c>
      <c r="K7" s="3" t="s">
        <v>37</v>
      </c>
    </row>
    <row r="8" spans="1:11" ht="100" customHeight="1" x14ac:dyDescent="0.2">
      <c r="A8" s="6" t="e" vm="6">
        <f t="shared" si="0"/>
        <v>#VALUE!</v>
      </c>
      <c r="B8" s="4" t="s">
        <v>84</v>
      </c>
      <c r="C8" s="1" t="s">
        <v>85</v>
      </c>
      <c r="D8" s="7" t="s">
        <v>29</v>
      </c>
      <c r="E8" s="8" t="s">
        <v>41</v>
      </c>
      <c r="G8" s="3" t="s">
        <v>36</v>
      </c>
      <c r="I8" s="3" t="b">
        <v>0</v>
      </c>
      <c r="J8" s="6" t="s">
        <v>29</v>
      </c>
      <c r="K8" s="3" t="s">
        <v>42</v>
      </c>
    </row>
    <row r="9" spans="1:11" ht="100" customHeight="1" x14ac:dyDescent="0.2">
      <c r="A9" s="6" t="e" vm="7">
        <f t="shared" si="0"/>
        <v>#VALUE!</v>
      </c>
      <c r="B9" s="4" t="s">
        <v>86</v>
      </c>
      <c r="C9" s="1" t="s">
        <v>87</v>
      </c>
      <c r="D9" s="7" t="s">
        <v>45</v>
      </c>
      <c r="E9" s="8" t="s">
        <v>46</v>
      </c>
      <c r="F9" s="3" t="s">
        <v>47</v>
      </c>
      <c r="G9" s="3" t="s">
        <v>14</v>
      </c>
      <c r="I9" s="3" t="b">
        <v>0</v>
      </c>
      <c r="K9" s="3" t="s">
        <v>48</v>
      </c>
    </row>
    <row r="10" spans="1:11" ht="100" customHeight="1" x14ac:dyDescent="0.2">
      <c r="A10" s="6" t="e" vm="8">
        <f t="shared" si="0"/>
        <v>#VALUE!</v>
      </c>
      <c r="B10" s="4" t="s">
        <v>88</v>
      </c>
      <c r="C10" s="1" t="s">
        <v>89</v>
      </c>
      <c r="D10" s="7" t="s">
        <v>51</v>
      </c>
      <c r="E10" s="8" t="s">
        <v>52</v>
      </c>
      <c r="F10" s="3" t="s">
        <v>53</v>
      </c>
      <c r="G10" s="3" t="s">
        <v>14</v>
      </c>
      <c r="I10" s="3" t="b">
        <v>1</v>
      </c>
      <c r="K10" s="3" t="s">
        <v>54</v>
      </c>
    </row>
    <row r="11" spans="1:11" ht="100" customHeight="1" x14ac:dyDescent="0.2">
      <c r="A11" s="6" t="e" vm="9">
        <f t="shared" si="0"/>
        <v>#VALUE!</v>
      </c>
      <c r="B11" s="4" t="s">
        <v>90</v>
      </c>
      <c r="C11" s="1" t="s">
        <v>91</v>
      </c>
      <c r="D11" s="7" t="s">
        <v>19</v>
      </c>
      <c r="E11" s="8" t="s">
        <v>57</v>
      </c>
      <c r="F11" s="3" t="s">
        <v>58</v>
      </c>
      <c r="G11" s="3" t="s">
        <v>14</v>
      </c>
      <c r="I11" s="3" t="b">
        <v>1</v>
      </c>
      <c r="K11" s="3" t="s">
        <v>59</v>
      </c>
    </row>
    <row r="12" spans="1:11" ht="100" customHeight="1" x14ac:dyDescent="0.2">
      <c r="A12" s="6" t="e" vm="10">
        <f t="shared" si="0"/>
        <v>#VALUE!</v>
      </c>
      <c r="B12" s="4" t="s">
        <v>92</v>
      </c>
      <c r="C12" s="1" t="s">
        <v>93</v>
      </c>
      <c r="D12" s="7" t="s">
        <v>19</v>
      </c>
      <c r="E12" s="8" t="s">
        <v>62</v>
      </c>
      <c r="G12" s="3" t="s">
        <v>14</v>
      </c>
      <c r="I12" s="3" t="b">
        <v>1</v>
      </c>
      <c r="K12" s="3" t="s">
        <v>63</v>
      </c>
    </row>
    <row r="13" spans="1:11" ht="100" customHeight="1" x14ac:dyDescent="0.2">
      <c r="A13" s="3" t="e" vm="11">
        <f t="shared" si="0"/>
        <v>#VALUE!</v>
      </c>
      <c r="B13" s="3" t="s">
        <v>94</v>
      </c>
      <c r="C13" s="3" t="s">
        <v>95</v>
      </c>
      <c r="D13" s="6" t="s">
        <v>29</v>
      </c>
      <c r="E13" s="3" t="s">
        <v>66</v>
      </c>
      <c r="F13" s="3" t="s">
        <v>67</v>
      </c>
      <c r="G13" s="3" t="s">
        <v>14</v>
      </c>
      <c r="I13" s="3" t="b">
        <v>1</v>
      </c>
      <c r="K13" s="3" t="s">
        <v>68</v>
      </c>
    </row>
    <row r="14" spans="1:11" ht="100" customHeight="1" x14ac:dyDescent="0.2">
      <c r="A14" s="3" t="e" vm="1">
        <f t="shared" si="0"/>
        <v>#VALUE!</v>
      </c>
      <c r="B14" s="3" t="s">
        <v>96</v>
      </c>
      <c r="C14" s="3" t="s">
        <v>97</v>
      </c>
      <c r="D14" s="6" t="s">
        <v>29</v>
      </c>
      <c r="E14" s="3" t="s">
        <v>5</v>
      </c>
      <c r="F14" s="3" t="s">
        <v>12</v>
      </c>
      <c r="G14" s="3" t="s">
        <v>14</v>
      </c>
      <c r="I14" s="3" t="b">
        <v>1</v>
      </c>
      <c r="K14" s="3" t="s">
        <v>25</v>
      </c>
    </row>
    <row r="15" spans="1:11" ht="100" customHeight="1" x14ac:dyDescent="0.2">
      <c r="A15" s="3" t="e" vm="4">
        <f t="shared" si="0"/>
        <v>#VALUE!</v>
      </c>
      <c r="B15" s="3" t="s">
        <v>98</v>
      </c>
      <c r="C15" s="3" t="s">
        <v>99</v>
      </c>
      <c r="D15" s="6" t="s">
        <v>100</v>
      </c>
      <c r="E15" s="3" t="s">
        <v>101</v>
      </c>
      <c r="G15" s="3" t="s">
        <v>14</v>
      </c>
      <c r="I15" s="3" t="b">
        <v>1</v>
      </c>
      <c r="K15" s="3" t="s">
        <v>32</v>
      </c>
    </row>
    <row r="16" spans="1:11" ht="100" customHeight="1" x14ac:dyDescent="0.2">
      <c r="A16" s="3" t="e" vm="5">
        <f t="shared" si="0"/>
        <v>#VALUE!</v>
      </c>
      <c r="B16" s="3" t="s">
        <v>102</v>
      </c>
      <c r="C16" s="3" t="s">
        <v>103</v>
      </c>
      <c r="D16" s="6" t="s">
        <v>100</v>
      </c>
      <c r="E16" s="3" t="s">
        <v>104</v>
      </c>
      <c r="G16" s="3" t="s">
        <v>36</v>
      </c>
      <c r="I16" s="3" t="b">
        <v>0</v>
      </c>
      <c r="J16" s="6" t="s">
        <v>73</v>
      </c>
      <c r="K16" s="3" t="s">
        <v>37</v>
      </c>
    </row>
    <row r="17" spans="1:11" ht="100" customHeight="1" x14ac:dyDescent="0.2">
      <c r="A17" s="3" t="e" vm="5">
        <f t="shared" si="0"/>
        <v>#VALUE!</v>
      </c>
      <c r="B17" s="3" t="s">
        <v>105</v>
      </c>
      <c r="C17" s="3" t="s">
        <v>106</v>
      </c>
      <c r="D17" s="6" t="s">
        <v>29</v>
      </c>
      <c r="E17" s="3" t="s">
        <v>107</v>
      </c>
      <c r="G17" s="3" t="s">
        <v>36</v>
      </c>
      <c r="I17" s="3" t="b">
        <v>1</v>
      </c>
      <c r="J17" s="6" t="s">
        <v>73</v>
      </c>
      <c r="K17" s="3" t="s">
        <v>37</v>
      </c>
    </row>
    <row r="18" spans="1:11" ht="100" customHeight="1" x14ac:dyDescent="0.2">
      <c r="A18" s="3" t="e" vm="6">
        <f t="shared" si="0"/>
        <v>#VALUE!</v>
      </c>
      <c r="B18" s="3" t="s">
        <v>108</v>
      </c>
      <c r="C18" s="3" t="s">
        <v>109</v>
      </c>
      <c r="D18" s="6" t="s">
        <v>29</v>
      </c>
      <c r="E18" s="3" t="s">
        <v>110</v>
      </c>
      <c r="G18" s="3" t="s">
        <v>36</v>
      </c>
      <c r="I18" s="3" t="b">
        <v>0</v>
      </c>
      <c r="J18" s="6" t="s">
        <v>111</v>
      </c>
      <c r="K18" s="3" t="s">
        <v>42</v>
      </c>
    </row>
    <row r="19" spans="1:11" ht="100" customHeight="1" x14ac:dyDescent="0.2">
      <c r="A19" s="3" t="e" vm="6">
        <f t="shared" si="0"/>
        <v>#VALUE!</v>
      </c>
      <c r="B19" s="3" t="s">
        <v>112</v>
      </c>
      <c r="C19" s="3" t="s">
        <v>113</v>
      </c>
      <c r="D19" s="6" t="s">
        <v>100</v>
      </c>
      <c r="E19" s="3" t="s">
        <v>114</v>
      </c>
      <c r="G19" s="3" t="s">
        <v>36</v>
      </c>
      <c r="I19" s="3" t="b">
        <v>0</v>
      </c>
      <c r="J19" s="6" t="s">
        <v>111</v>
      </c>
      <c r="K19" s="3" t="s">
        <v>42</v>
      </c>
    </row>
    <row r="20" spans="1:11" ht="100" customHeight="1" x14ac:dyDescent="0.2">
      <c r="A20" s="3" t="e" vm="6">
        <f t="shared" si="0"/>
        <v>#VALUE!</v>
      </c>
      <c r="B20" s="3" t="s">
        <v>115</v>
      </c>
      <c r="C20" s="3" t="s">
        <v>116</v>
      </c>
      <c r="D20" s="6" t="s">
        <v>100</v>
      </c>
      <c r="E20" s="3" t="s">
        <v>117</v>
      </c>
      <c r="G20" s="3" t="s">
        <v>36</v>
      </c>
      <c r="I20" s="3" t="b">
        <v>0</v>
      </c>
      <c r="J20" s="6" t="s">
        <v>111</v>
      </c>
      <c r="K20" s="3" t="s">
        <v>42</v>
      </c>
    </row>
    <row r="21" spans="1:11" ht="100" customHeight="1" x14ac:dyDescent="0.2">
      <c r="A21" s="3" t="e" vm="6">
        <f t="shared" si="0"/>
        <v>#VALUE!</v>
      </c>
      <c r="B21" s="3" t="s">
        <v>118</v>
      </c>
      <c r="C21" s="3" t="s">
        <v>119</v>
      </c>
      <c r="D21" s="6" t="s">
        <v>111</v>
      </c>
      <c r="E21" s="3" t="s">
        <v>120</v>
      </c>
      <c r="F21" s="3" t="s">
        <v>12</v>
      </c>
      <c r="G21" s="3" t="s">
        <v>36</v>
      </c>
      <c r="I21" s="3" t="b">
        <v>0</v>
      </c>
      <c r="J21" s="6" t="s">
        <v>45</v>
      </c>
      <c r="K21" s="3" t="s">
        <v>42</v>
      </c>
    </row>
    <row r="22" spans="1:11" ht="100" customHeight="1" x14ac:dyDescent="0.2">
      <c r="A22" s="3" t="e" vm="6">
        <f t="shared" si="0"/>
        <v>#VALUE!</v>
      </c>
      <c r="B22" s="3" t="s">
        <v>121</v>
      </c>
      <c r="C22" s="3" t="s">
        <v>122</v>
      </c>
      <c r="D22" s="6" t="s">
        <v>45</v>
      </c>
      <c r="E22" s="3" t="s">
        <v>123</v>
      </c>
      <c r="G22" s="3" t="s">
        <v>36</v>
      </c>
      <c r="I22" s="3" t="b">
        <v>0</v>
      </c>
      <c r="J22" s="6" t="s">
        <v>111</v>
      </c>
      <c r="K22" s="3" t="s">
        <v>42</v>
      </c>
    </row>
    <row r="23" spans="1:11" ht="100" customHeight="1" x14ac:dyDescent="0.2">
      <c r="A23" s="3" t="e" vm="4">
        <f t="shared" si="0"/>
        <v>#VALUE!</v>
      </c>
      <c r="B23" s="3" t="s">
        <v>124</v>
      </c>
      <c r="C23" s="3" t="s">
        <v>125</v>
      </c>
      <c r="D23" s="6" t="s">
        <v>19</v>
      </c>
      <c r="E23" s="3" t="s">
        <v>126</v>
      </c>
      <c r="G23" s="3" t="s">
        <v>14</v>
      </c>
      <c r="I23" s="3" t="b">
        <v>1</v>
      </c>
      <c r="K23" s="3" t="s">
        <v>32</v>
      </c>
    </row>
    <row r="24" spans="1:11" ht="100" customHeight="1" x14ac:dyDescent="0.2">
      <c r="A24" s="3" t="e" vm="4">
        <f t="shared" si="0"/>
        <v>#VALUE!</v>
      </c>
      <c r="B24" s="3" t="s">
        <v>127</v>
      </c>
      <c r="C24" s="3" t="s">
        <v>128</v>
      </c>
      <c r="D24" s="6" t="s">
        <v>19</v>
      </c>
      <c r="E24" s="3" t="s">
        <v>129</v>
      </c>
      <c r="G24" s="3" t="s">
        <v>14</v>
      </c>
      <c r="I24" s="3" t="b">
        <v>1</v>
      </c>
      <c r="K24" s="3" t="s">
        <v>32</v>
      </c>
    </row>
    <row r="25" spans="1:11" ht="100" customHeight="1" x14ac:dyDescent="0.2">
      <c r="A25" s="3" t="e" vm="10">
        <f t="shared" si="0"/>
        <v>#VALUE!</v>
      </c>
      <c r="B25" s="3" t="s">
        <v>130</v>
      </c>
      <c r="C25" s="3" t="s">
        <v>131</v>
      </c>
      <c r="D25" s="6" t="s">
        <v>19</v>
      </c>
      <c r="E25" s="3" t="s">
        <v>132</v>
      </c>
      <c r="G25" s="3" t="s">
        <v>14</v>
      </c>
      <c r="I25" s="3" t="b">
        <v>1</v>
      </c>
      <c r="K25" s="3" t="s">
        <v>63</v>
      </c>
    </row>
    <row r="26" spans="1:11" ht="100" customHeight="1" x14ac:dyDescent="0.2">
      <c r="A26" s="3" t="e" vm="10">
        <f t="shared" si="0"/>
        <v>#VALUE!</v>
      </c>
      <c r="B26" s="3" t="s">
        <v>133</v>
      </c>
      <c r="C26" s="3" t="s">
        <v>134</v>
      </c>
      <c r="D26" s="6" t="s">
        <v>29</v>
      </c>
      <c r="E26" s="3" t="s">
        <v>135</v>
      </c>
      <c r="G26" s="3" t="s">
        <v>14</v>
      </c>
      <c r="I26" s="3" t="b">
        <v>1</v>
      </c>
      <c r="K26" s="3" t="s">
        <v>63</v>
      </c>
    </row>
    <row r="27" spans="1:11" ht="100" customHeight="1" x14ac:dyDescent="0.2">
      <c r="A27" s="3" t="e" vm="10">
        <f t="shared" si="0"/>
        <v>#VALUE!</v>
      </c>
      <c r="B27" s="3" t="s">
        <v>136</v>
      </c>
      <c r="C27" s="3" t="s">
        <v>137</v>
      </c>
      <c r="D27" s="6" t="s">
        <v>19</v>
      </c>
      <c r="E27" s="3" t="s">
        <v>138</v>
      </c>
      <c r="G27" s="3" t="s">
        <v>14</v>
      </c>
      <c r="I27" s="3" t="b">
        <v>1</v>
      </c>
      <c r="K27" s="3" t="s">
        <v>63</v>
      </c>
    </row>
    <row r="28" spans="1:11" ht="100" customHeight="1" x14ac:dyDescent="0.2">
      <c r="A28" s="3" t="e" vm="10">
        <f t="shared" si="0"/>
        <v>#VALUE!</v>
      </c>
      <c r="B28" s="3" t="s">
        <v>139</v>
      </c>
      <c r="C28" s="3" t="s">
        <v>140</v>
      </c>
      <c r="D28" s="6" t="s">
        <v>19</v>
      </c>
      <c r="E28" s="3" t="s">
        <v>141</v>
      </c>
      <c r="F28" s="3" t="s">
        <v>142</v>
      </c>
      <c r="G28" s="3" t="s">
        <v>14</v>
      </c>
      <c r="I28" s="3" t="b">
        <v>1</v>
      </c>
      <c r="K28" s="3" t="s">
        <v>63</v>
      </c>
    </row>
    <row r="29" spans="1:11" ht="100" customHeight="1" x14ac:dyDescent="0.2">
      <c r="A29" s="3" t="e" vm="8">
        <f t="shared" si="0"/>
        <v>#VALUE!</v>
      </c>
      <c r="B29" s="3" t="s">
        <v>143</v>
      </c>
      <c r="C29" s="3" t="s">
        <v>144</v>
      </c>
      <c r="D29" s="6" t="s">
        <v>51</v>
      </c>
      <c r="E29" s="3" t="s">
        <v>145</v>
      </c>
      <c r="G29" s="3" t="s">
        <v>14</v>
      </c>
      <c r="I29" s="3" t="b">
        <v>0</v>
      </c>
      <c r="K29" s="3" t="s">
        <v>54</v>
      </c>
    </row>
    <row r="30" spans="1:11" ht="100" customHeight="1" x14ac:dyDescent="0.2">
      <c r="A30" s="3" t="e" vm="8">
        <f t="shared" si="0"/>
        <v>#VALUE!</v>
      </c>
      <c r="B30" s="3" t="s">
        <v>146</v>
      </c>
      <c r="C30" s="3" t="s">
        <v>147</v>
      </c>
      <c r="D30" s="6" t="s">
        <v>51</v>
      </c>
      <c r="E30" s="3" t="s">
        <v>148</v>
      </c>
      <c r="F30" s="3" t="s">
        <v>12</v>
      </c>
      <c r="G30" s="3" t="s">
        <v>14</v>
      </c>
      <c r="I30" s="3" t="b">
        <v>1</v>
      </c>
      <c r="K30" s="3" t="s">
        <v>54</v>
      </c>
    </row>
    <row r="31" spans="1:11" ht="100" customHeight="1" x14ac:dyDescent="0.2">
      <c r="A31" s="3" t="e" vm="8">
        <f t="shared" si="0"/>
        <v>#VALUE!</v>
      </c>
      <c r="B31" s="3" t="s">
        <v>149</v>
      </c>
      <c r="C31" s="3" t="s">
        <v>150</v>
      </c>
      <c r="D31" s="6" t="s">
        <v>19</v>
      </c>
      <c r="E31" s="3" t="s">
        <v>151</v>
      </c>
      <c r="F31" s="3" t="s">
        <v>53</v>
      </c>
      <c r="G31" s="3" t="s">
        <v>14</v>
      </c>
      <c r="I31" s="3" t="b">
        <v>1</v>
      </c>
      <c r="K31" s="3" t="s">
        <v>54</v>
      </c>
    </row>
    <row r="32" spans="1:11" ht="100" customHeight="1" x14ac:dyDescent="0.2">
      <c r="A32" s="3" t="e" vm="8">
        <f t="shared" si="0"/>
        <v>#VALUE!</v>
      </c>
      <c r="B32" s="3" t="s">
        <v>152</v>
      </c>
      <c r="C32" s="3" t="s">
        <v>153</v>
      </c>
      <c r="D32" s="6" t="s">
        <v>100</v>
      </c>
      <c r="E32" s="3" t="s">
        <v>154</v>
      </c>
      <c r="G32" s="3" t="s">
        <v>14</v>
      </c>
      <c r="I32" s="3" t="b">
        <v>0</v>
      </c>
      <c r="K32" s="3" t="s">
        <v>54</v>
      </c>
    </row>
    <row r="33" spans="1:11" ht="100" customHeight="1" x14ac:dyDescent="0.2">
      <c r="A33" s="3" t="e" vm="8">
        <f t="shared" si="0"/>
        <v>#VALUE!</v>
      </c>
      <c r="B33" s="3" t="s">
        <v>155</v>
      </c>
      <c r="C33" s="3" t="s">
        <v>156</v>
      </c>
      <c r="D33" s="6" t="s">
        <v>29</v>
      </c>
      <c r="E33" s="3" t="s">
        <v>157</v>
      </c>
      <c r="G33" s="3" t="s">
        <v>14</v>
      </c>
      <c r="I33" s="3" t="b">
        <v>0</v>
      </c>
      <c r="K33" s="3" t="s">
        <v>54</v>
      </c>
    </row>
    <row r="34" spans="1:11" ht="100" customHeight="1" x14ac:dyDescent="0.2">
      <c r="A34" s="3" t="e" vm="8">
        <f t="shared" si="0"/>
        <v>#VALUE!</v>
      </c>
      <c r="B34" s="3" t="s">
        <v>158</v>
      </c>
      <c r="C34" s="3" t="s">
        <v>159</v>
      </c>
      <c r="D34" s="6" t="s">
        <v>29</v>
      </c>
      <c r="E34" s="3" t="s">
        <v>160</v>
      </c>
      <c r="G34" s="3" t="s">
        <v>14</v>
      </c>
      <c r="I34" s="3" t="b">
        <v>0</v>
      </c>
      <c r="K34" s="3" t="s">
        <v>54</v>
      </c>
    </row>
    <row r="35" spans="1:11" ht="100" customHeight="1" x14ac:dyDescent="0.2">
      <c r="A35" s="3" t="e" vm="8">
        <f t="shared" si="0"/>
        <v>#VALUE!</v>
      </c>
      <c r="B35" s="3" t="s">
        <v>161</v>
      </c>
      <c r="C35" s="3" t="s">
        <v>162</v>
      </c>
      <c r="D35" s="6" t="s">
        <v>19</v>
      </c>
      <c r="E35" s="3" t="s">
        <v>163</v>
      </c>
      <c r="G35" s="3" t="s">
        <v>14</v>
      </c>
      <c r="I35" s="3" t="b">
        <v>0</v>
      </c>
      <c r="K35" s="3" t="s">
        <v>54</v>
      </c>
    </row>
    <row r="36" spans="1:11" ht="100" customHeight="1" x14ac:dyDescent="0.2">
      <c r="A36" s="3" t="e" vm="8">
        <f t="shared" si="0"/>
        <v>#VALUE!</v>
      </c>
      <c r="B36" s="3" t="s">
        <v>164</v>
      </c>
      <c r="C36" s="3" t="s">
        <v>165</v>
      </c>
      <c r="D36" s="6" t="s">
        <v>29</v>
      </c>
      <c r="E36" s="3" t="s">
        <v>166</v>
      </c>
      <c r="G36" s="3" t="s">
        <v>14</v>
      </c>
      <c r="I36" s="3" t="b">
        <v>0</v>
      </c>
      <c r="K36" s="3" t="s">
        <v>54</v>
      </c>
    </row>
    <row r="37" spans="1:11" ht="100" customHeight="1" x14ac:dyDescent="0.2">
      <c r="A37" s="3" t="e" vm="8">
        <f t="shared" si="0"/>
        <v>#VALUE!</v>
      </c>
      <c r="B37" s="3" t="s">
        <v>167</v>
      </c>
      <c r="C37" s="3" t="s">
        <v>168</v>
      </c>
      <c r="D37" s="6" t="s">
        <v>100</v>
      </c>
      <c r="E37" s="3" t="s">
        <v>169</v>
      </c>
      <c r="G37" s="3" t="s">
        <v>36</v>
      </c>
      <c r="I37" s="3" t="b">
        <v>0</v>
      </c>
      <c r="J37" s="6" t="s">
        <v>19</v>
      </c>
      <c r="K37" s="3" t="s">
        <v>54</v>
      </c>
    </row>
    <row r="38" spans="1:11" x14ac:dyDescent="0.2">
      <c r="A38" s="12"/>
      <c r="D38" s="6"/>
    </row>
  </sheetData>
  <dataValidations count="2">
    <dataValidation type="list" allowBlank="1" showInputMessage="1" showErrorMessage="1" sqref="I2:I12" xr:uid="{76574364-1871-5B4E-BFF7-ABEAE0A0649A}">
      <formula1>"FALSE,TRUE"</formula1>
    </dataValidation>
    <dataValidation type="list" allowBlank="1" showInputMessage="1" showErrorMessage="1" sqref="G2:G12" xr:uid="{941C3860-DC6D-1D45-A286-924EEA35BF64}">
      <formula1>"Event,Character"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Cards</vt:lpstr>
      <vt:lpstr>Test Cards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 Thurn</dc:creator>
  <cp:lastModifiedBy>Derek Thurn</cp:lastModifiedBy>
  <dcterms:created xsi:type="dcterms:W3CDTF">2025-12-13T05:29:00Z</dcterms:created>
  <dcterms:modified xsi:type="dcterms:W3CDTF">2025-12-13T22:54:09Z</dcterms:modified>
</cp:coreProperties>
</file>